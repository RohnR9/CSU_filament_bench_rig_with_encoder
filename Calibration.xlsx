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R\RA_CSU\Ultem_testing\calibration_firmware\"/>
    </mc:Choice>
  </mc:AlternateContent>
  <xr:revisionPtr revIDLastSave="0" documentId="13_ncr:1_{FC5D7266-A2A5-411E-B7DD-BF5894AB3AFF}" xr6:coauthVersionLast="47" xr6:coauthVersionMax="47" xr10:uidLastSave="{00000000-0000-0000-0000-000000000000}"/>
  <bookViews>
    <workbookView xWindow="11424" yWindow="0" windowWidth="11712" windowHeight="12336" activeTab="1" xr2:uid="{00000000-000D-0000-FFFF-FFFF00000000}"/>
  </bookViews>
  <sheets>
    <sheet name="Sensor_0" sheetId="2" r:id="rId1"/>
    <sheet name="Sensor_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  <c r="H4" i="1"/>
  <c r="H3" i="1"/>
  <c r="H2" i="1"/>
  <c r="C34" i="2"/>
  <c r="G4" i="2" s="1"/>
  <c r="B34" i="2"/>
  <c r="A34" i="2"/>
  <c r="G3" i="2"/>
  <c r="G2" i="2"/>
  <c r="B34" i="1"/>
  <c r="G3" i="1" s="1"/>
  <c r="C34" i="1"/>
  <c r="G4" i="1" s="1"/>
  <c r="A34" i="1"/>
  <c r="G2" i="1" s="1"/>
  <c r="G7" i="1" l="1"/>
  <c r="G6" i="1"/>
  <c r="G8" i="1"/>
  <c r="G6" i="2"/>
  <c r="G9" i="2" s="1"/>
  <c r="G7" i="2"/>
  <c r="G8" i="2"/>
  <c r="G9" i="1" l="1"/>
</calcChain>
</file>

<file path=xl/sharedStrings.xml><?xml version="1.0" encoding="utf-8"?>
<sst xmlns="http://schemas.openxmlformats.org/spreadsheetml/2006/main" count="12" uniqueCount="6">
  <si>
    <t>X_values</t>
  </si>
  <si>
    <t>Y_values</t>
  </si>
  <si>
    <t>Slope</t>
  </si>
  <si>
    <t>Intercept</t>
  </si>
  <si>
    <t>Diameter_mm</t>
  </si>
  <si>
    <t>RSQ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</si>
</sst>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B681304-84F8-4A0C-A7F0-32ED8BAE490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8C05F-06FE-4DC8-A5C7-455FFDFE5437}">
  <dimension ref="A1:H34"/>
  <sheetViews>
    <sheetView workbookViewId="0">
      <selection activeCell="G7" sqref="G7"/>
    </sheetView>
  </sheetViews>
  <sheetFormatPr defaultRowHeight="14.4"/>
  <cols>
    <col min="1" max="1" width="12" bestFit="1" customWidth="1"/>
    <col min="6" max="6" width="13.88671875" bestFit="1" customWidth="1"/>
    <col min="7" max="7" width="12.6640625" bestFit="1" customWidth="1"/>
  </cols>
  <sheetData>
    <row r="1" spans="1:8">
      <c r="A1">
        <v>6.6500000000000004E-2</v>
      </c>
      <c r="B1">
        <v>6.9000000000000006E-2</v>
      </c>
      <c r="C1">
        <v>7.0999999999999994E-2</v>
      </c>
      <c r="G1" t="s">
        <v>0</v>
      </c>
      <c r="H1" t="s">
        <v>1</v>
      </c>
    </row>
    <row r="2" spans="1:8">
      <c r="A2" s="1">
        <v>31723.964840000001</v>
      </c>
      <c r="B2" s="1">
        <v>25583.988280000001</v>
      </c>
      <c r="C2" s="1">
        <v>21319.035159999999</v>
      </c>
      <c r="G2">
        <f>A34</f>
        <v>31730.966490624996</v>
      </c>
      <c r="H2">
        <f>$A$1*25.4</f>
        <v>1.6891</v>
      </c>
    </row>
    <row r="3" spans="1:8">
      <c r="A3" s="1">
        <v>31724.996090000001</v>
      </c>
      <c r="B3" s="1">
        <v>25573.04492</v>
      </c>
      <c r="C3" s="1">
        <v>21325.972659999999</v>
      </c>
      <c r="G3">
        <f>B34</f>
        <v>25572.579026538468</v>
      </c>
      <c r="H3">
        <f>$B$1*25.4</f>
        <v>1.7526000000000002</v>
      </c>
    </row>
    <row r="4" spans="1:8">
      <c r="A4" s="1">
        <v>31723.007809999999</v>
      </c>
      <c r="B4" s="1">
        <v>25580.96875</v>
      </c>
      <c r="C4" s="1">
        <v>21317.035159999999</v>
      </c>
      <c r="G4">
        <f>C34</f>
        <v>21330.575568846154</v>
      </c>
      <c r="H4">
        <f>$C$1*25.4</f>
        <v>1.8033999999999997</v>
      </c>
    </row>
    <row r="5" spans="1:8">
      <c r="A5" s="1">
        <v>31710.052729999999</v>
      </c>
      <c r="B5" s="1">
        <v>25588.96875</v>
      </c>
      <c r="C5" s="1">
        <v>21332.935549999998</v>
      </c>
    </row>
    <row r="6" spans="1:8">
      <c r="A6" s="1">
        <v>31710</v>
      </c>
      <c r="B6" s="1">
        <v>25583.023440000001</v>
      </c>
      <c r="C6" s="1">
        <v>21346.943360000001</v>
      </c>
      <c r="F6" t="s">
        <v>2</v>
      </c>
      <c r="G6">
        <f>SLOPE(H2:H4,G2:G4)</f>
        <v>-1.0941147555543749E-5</v>
      </c>
    </row>
    <row r="7" spans="1:8">
      <c r="A7" s="1">
        <v>31737.88867</v>
      </c>
      <c r="B7" s="1">
        <v>25579.015630000002</v>
      </c>
      <c r="C7" s="1">
        <v>21341.023440000001</v>
      </c>
      <c r="F7" t="s">
        <v>3</v>
      </c>
      <c r="G7">
        <f>INTERCEPT(H2:H4,G2:G4)</f>
        <v>2.0351491739008418</v>
      </c>
    </row>
    <row r="8" spans="1:8">
      <c r="A8" s="1">
        <v>31728.039059999999</v>
      </c>
      <c r="B8" s="1">
        <v>25572.027340000001</v>
      </c>
      <c r="C8" s="1">
        <v>21337.015630000002</v>
      </c>
      <c r="F8" t="s">
        <v>5</v>
      </c>
      <c r="G8">
        <f>RSQ(H2:H4,G2:G4)</f>
        <v>0.99824356407999637</v>
      </c>
    </row>
    <row r="9" spans="1:8">
      <c r="A9" s="1">
        <v>31714.056639999999</v>
      </c>
      <c r="B9" s="1">
        <v>25578.972659999999</v>
      </c>
      <c r="C9" s="1">
        <v>21332.019530000001</v>
      </c>
      <c r="F9" t="s">
        <v>4</v>
      </c>
      <c r="G9">
        <f>($G$6*B10)+G7</f>
        <v>1.7552746622099196</v>
      </c>
    </row>
    <row r="10" spans="1:8">
      <c r="A10" s="1">
        <v>31716.988280000001</v>
      </c>
      <c r="B10" s="1">
        <v>25579.996090000001</v>
      </c>
      <c r="C10" s="1">
        <v>21328.015630000002</v>
      </c>
    </row>
    <row r="11" spans="1:8">
      <c r="A11" s="1">
        <v>31723.972659999999</v>
      </c>
      <c r="B11" s="1">
        <v>25578.007809999999</v>
      </c>
      <c r="C11" s="1">
        <v>21319.035159999999</v>
      </c>
    </row>
    <row r="12" spans="1:8">
      <c r="A12" s="1">
        <v>31729.976559999999</v>
      </c>
      <c r="B12" s="1">
        <v>25585.96875</v>
      </c>
      <c r="C12" s="1">
        <v>21336.927729999999</v>
      </c>
    </row>
    <row r="13" spans="1:8">
      <c r="A13" s="1">
        <v>31720.039059999999</v>
      </c>
      <c r="B13" s="1">
        <v>25575.04492</v>
      </c>
      <c r="C13" s="1">
        <v>21339.988280000001</v>
      </c>
    </row>
    <row r="14" spans="1:8">
      <c r="A14" s="1">
        <v>31727.96875</v>
      </c>
      <c r="B14" s="1">
        <v>25570.019530000001</v>
      </c>
      <c r="C14" s="1">
        <v>21335.019530000001</v>
      </c>
    </row>
    <row r="15" spans="1:8">
      <c r="A15" s="1">
        <v>31728.996090000001</v>
      </c>
      <c r="B15" s="1">
        <v>25568.007809999999</v>
      </c>
      <c r="C15" s="1">
        <v>21330.019530000001</v>
      </c>
    </row>
    <row r="16" spans="1:8">
      <c r="A16" s="1">
        <v>32000.908200000002</v>
      </c>
      <c r="B16" s="1">
        <v>25577.960940000001</v>
      </c>
      <c r="C16" s="1">
        <v>21329.003909999999</v>
      </c>
    </row>
    <row r="17" spans="1:3">
      <c r="A17" s="1">
        <v>31734.07617</v>
      </c>
      <c r="B17" s="1">
        <v>25561.068360000001</v>
      </c>
      <c r="C17" s="1">
        <v>21333.980469999999</v>
      </c>
    </row>
    <row r="18" spans="1:3">
      <c r="A18" s="1">
        <v>31729.015630000002</v>
      </c>
      <c r="B18" s="1">
        <v>25576.935549999998</v>
      </c>
      <c r="C18" s="1">
        <v>21329.019530000001</v>
      </c>
    </row>
    <row r="19" spans="1:3">
      <c r="A19" s="1">
        <v>31736.96875</v>
      </c>
      <c r="B19" s="1">
        <v>25553.095700000002</v>
      </c>
      <c r="C19" s="1">
        <v>21320.035159999999</v>
      </c>
    </row>
    <row r="20" spans="1:3">
      <c r="A20" s="1">
        <v>31727.039059999999</v>
      </c>
      <c r="B20" s="1">
        <v>25578.896479999999</v>
      </c>
      <c r="C20" s="1">
        <v>21320</v>
      </c>
    </row>
    <row r="21" spans="1:3">
      <c r="A21" s="1">
        <v>31726.003909999999</v>
      </c>
      <c r="B21" s="1">
        <v>25571.03125</v>
      </c>
      <c r="C21" s="1">
        <v>21324.980469999999</v>
      </c>
    </row>
    <row r="22" spans="1:3">
      <c r="A22" s="1">
        <v>31724.007809999999</v>
      </c>
      <c r="B22" s="1">
        <v>25577.972659999999</v>
      </c>
      <c r="C22" s="1">
        <v>21335.95508</v>
      </c>
    </row>
    <row r="23" spans="1:3">
      <c r="A23" s="1">
        <v>31730.972659999999</v>
      </c>
      <c r="B23" s="1">
        <v>25559.07617</v>
      </c>
      <c r="C23" s="1">
        <v>21328.03125</v>
      </c>
    </row>
    <row r="24" spans="1:3">
      <c r="A24" s="1">
        <v>31734.984380000002</v>
      </c>
      <c r="B24" s="1">
        <v>25554.019530000001</v>
      </c>
      <c r="C24" s="1">
        <v>21331.984380000002</v>
      </c>
    </row>
    <row r="25" spans="1:3">
      <c r="A25" s="1">
        <v>31701.136719999999</v>
      </c>
      <c r="B25" s="1">
        <v>25557.984380000002</v>
      </c>
      <c r="C25" s="1">
        <v>21332</v>
      </c>
    </row>
    <row r="26" spans="1:3">
      <c r="A26" s="1">
        <v>31701.996090000001</v>
      </c>
      <c r="B26" s="1">
        <v>25554.015630000002</v>
      </c>
      <c r="C26" s="1">
        <v>21333.992190000001</v>
      </c>
    </row>
    <row r="27" spans="1:3">
      <c r="A27" s="1">
        <v>31721.91992</v>
      </c>
      <c r="B27" s="1">
        <v>25567.943360000001</v>
      </c>
      <c r="C27" s="1">
        <v>21334.995999999999</v>
      </c>
    </row>
    <row r="28" spans="1:3">
      <c r="A28" s="1">
        <v>31712.039059999999</v>
      </c>
    </row>
    <row r="29" spans="1:3">
      <c r="A29" s="1">
        <v>31704.03125</v>
      </c>
    </row>
    <row r="30" spans="1:3">
      <c r="A30" s="1">
        <v>31729.896479999999</v>
      </c>
    </row>
    <row r="31" spans="1:3">
      <c r="A31" s="1">
        <v>31706.095700000002</v>
      </c>
    </row>
    <row r="32" spans="1:3">
      <c r="A32" s="1">
        <v>31715.960940000001</v>
      </c>
    </row>
    <row r="33" spans="1:3">
      <c r="A33" s="1">
        <v>31733.927729999999</v>
      </c>
    </row>
    <row r="34" spans="1:3">
      <c r="A34">
        <f>AVERAGE(A2:A33)</f>
        <v>31730.966490624996</v>
      </c>
      <c r="B34">
        <f>AVERAGE(B2:B33)</f>
        <v>25572.579026538468</v>
      </c>
      <c r="C34">
        <f t="shared" ref="C34" si="0">AVERAGE(C2:C33)</f>
        <v>21330.575568846154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workbookViewId="0">
      <selection activeCell="G18" sqref="G18"/>
    </sheetView>
  </sheetViews>
  <sheetFormatPr defaultRowHeight="14.4"/>
  <cols>
    <col min="1" max="1" width="12" bestFit="1" customWidth="1"/>
    <col min="6" max="6" width="13.88671875" bestFit="1" customWidth="1"/>
    <col min="7" max="7" width="12.6640625" bestFit="1" customWidth="1"/>
  </cols>
  <sheetData>
    <row r="1" spans="1:8">
      <c r="A1" s="2">
        <v>6.6500000000000004E-2</v>
      </c>
      <c r="B1" s="2">
        <v>6.9000000000000006E-2</v>
      </c>
      <c r="C1" s="2">
        <v>7.0999999999999994E-2</v>
      </c>
      <c r="D1" s="2"/>
      <c r="E1" s="2"/>
      <c r="F1" s="2"/>
      <c r="G1" s="2" t="s">
        <v>0</v>
      </c>
      <c r="H1" s="2" t="s">
        <v>1</v>
      </c>
    </row>
    <row r="2" spans="1:8">
      <c r="A2" s="1">
        <v>30760.007809999999</v>
      </c>
      <c r="B2" s="1">
        <v>24040.96875</v>
      </c>
      <c r="C2" s="1">
        <v>20134.916020000001</v>
      </c>
      <c r="G2">
        <f>A34</f>
        <v>30768.964315862071</v>
      </c>
      <c r="H2">
        <f>$A$1*25.4</f>
        <v>1.6891</v>
      </c>
    </row>
    <row r="3" spans="1:8">
      <c r="A3" s="1">
        <v>30752.03125</v>
      </c>
      <c r="B3" s="1">
        <v>24021.08008</v>
      </c>
      <c r="C3" s="1">
        <v>20109.103520000001</v>
      </c>
      <c r="G3">
        <f>B34</f>
        <v>24036.068141724139</v>
      </c>
      <c r="H3">
        <f>$B$1*25.4</f>
        <v>1.7526000000000002</v>
      </c>
    </row>
    <row r="4" spans="1:8">
      <c r="A4" s="1">
        <v>30761.960940000001</v>
      </c>
      <c r="B4" s="1">
        <v>24037.931639999999</v>
      </c>
      <c r="C4" s="1">
        <v>20122.943360000001</v>
      </c>
      <c r="G4">
        <f>C34</f>
        <v>20119.106415714283</v>
      </c>
      <c r="H4">
        <f>$C$1*25.4</f>
        <v>1.8033999999999997</v>
      </c>
    </row>
    <row r="5" spans="1:8">
      <c r="A5" s="1">
        <v>30769.96875</v>
      </c>
      <c r="B5" s="1">
        <v>24014.095700000002</v>
      </c>
      <c r="C5" s="1">
        <v>20125.988280000001</v>
      </c>
    </row>
    <row r="6" spans="1:8">
      <c r="A6" s="1">
        <v>30769.003909999999</v>
      </c>
      <c r="B6" s="1">
        <v>24051.847659999999</v>
      </c>
      <c r="C6" s="1">
        <v>20110.064450000002</v>
      </c>
      <c r="F6" t="s">
        <v>2</v>
      </c>
      <c r="G6">
        <f>SLOPE(H2:H4,G2:G4)</f>
        <v>-1.0590829177389122E-5</v>
      </c>
    </row>
    <row r="7" spans="1:8">
      <c r="A7" s="1">
        <v>30774.976559999999</v>
      </c>
      <c r="B7" s="1">
        <v>24038.056639999999</v>
      </c>
      <c r="C7" s="1">
        <v>20104.023440000001</v>
      </c>
      <c r="F7" t="s">
        <v>3</v>
      </c>
      <c r="G7">
        <f>INTERCEPT(H2:H4,G2:G4)</f>
        <v>2.0128695853567016</v>
      </c>
    </row>
    <row r="8" spans="1:8">
      <c r="A8" s="1">
        <v>30757.072270000001</v>
      </c>
      <c r="B8" s="1">
        <v>24028.039059999999</v>
      </c>
      <c r="C8" s="1">
        <v>20126.908200000002</v>
      </c>
      <c r="F8" t="s">
        <v>5</v>
      </c>
      <c r="G8">
        <f>RSQ(H2:H4,G2:G4)</f>
        <v>0.99237620268525195</v>
      </c>
    </row>
    <row r="9" spans="1:8">
      <c r="A9" s="1">
        <v>30785.884770000001</v>
      </c>
      <c r="B9" s="1">
        <v>24034.972659999999</v>
      </c>
      <c r="C9" s="1">
        <v>20110.068360000001</v>
      </c>
      <c r="F9" t="s">
        <v>4</v>
      </c>
      <c r="G9">
        <f>($G$6*B10)+G7</f>
        <v>1.7582135114641677</v>
      </c>
    </row>
    <row r="10" spans="1:8">
      <c r="A10" s="1">
        <v>30762.095700000002</v>
      </c>
      <c r="B10" s="1">
        <v>24044.960940000001</v>
      </c>
      <c r="C10" s="1">
        <v>20110</v>
      </c>
    </row>
    <row r="11" spans="1:8">
      <c r="A11" s="1">
        <v>30764.988280000001</v>
      </c>
      <c r="B11" s="1">
        <v>24031.056639999999</v>
      </c>
      <c r="C11" s="1">
        <v>20123.943360000001</v>
      </c>
    </row>
    <row r="12" spans="1:8">
      <c r="A12" s="1">
        <v>30778.943360000001</v>
      </c>
      <c r="B12" s="1">
        <v>24043.947270000001</v>
      </c>
      <c r="C12" s="1">
        <v>20119.019530000001</v>
      </c>
    </row>
    <row r="13" spans="1:8">
      <c r="A13" s="1">
        <v>30773.023440000001</v>
      </c>
      <c r="B13" s="1">
        <v>24034.039059999999</v>
      </c>
      <c r="C13" s="1">
        <v>20134.935549999998</v>
      </c>
    </row>
    <row r="14" spans="1:8">
      <c r="A14" s="1">
        <v>30786.943360000001</v>
      </c>
      <c r="B14" s="1">
        <v>24028.023440000001</v>
      </c>
      <c r="C14" s="1">
        <v>20132.011719999999</v>
      </c>
    </row>
    <row r="15" spans="1:8">
      <c r="A15" s="1">
        <v>30758.115229999999</v>
      </c>
      <c r="B15" s="1">
        <v>24029.992190000001</v>
      </c>
      <c r="C15" s="1">
        <v>20125.027340000001</v>
      </c>
    </row>
    <row r="16" spans="1:8">
      <c r="A16" s="1">
        <v>30772.939450000002</v>
      </c>
      <c r="B16" s="1">
        <v>24045.935549999998</v>
      </c>
      <c r="C16" s="1">
        <v>20121.015630000002</v>
      </c>
    </row>
    <row r="17" spans="1:3">
      <c r="A17" s="1">
        <v>30766.027340000001</v>
      </c>
      <c r="B17" s="1">
        <v>24039.027340000001</v>
      </c>
      <c r="C17" s="1">
        <v>20123.988280000001</v>
      </c>
    </row>
    <row r="18" spans="1:3">
      <c r="A18" s="1">
        <v>30771.976559999999</v>
      </c>
      <c r="B18" s="1">
        <v>24044.976559999999</v>
      </c>
      <c r="C18" s="1">
        <v>20110.056639999999</v>
      </c>
    </row>
    <row r="19" spans="1:3">
      <c r="A19" s="1">
        <v>30773.992190000001</v>
      </c>
      <c r="B19" s="1">
        <v>24045</v>
      </c>
      <c r="C19" s="1">
        <v>20103.027340000001</v>
      </c>
    </row>
    <row r="20" spans="1:3">
      <c r="A20" s="1">
        <v>30790.931639999999</v>
      </c>
      <c r="B20" s="1">
        <v>24032.052729999999</v>
      </c>
      <c r="C20" s="1">
        <v>20122.91992</v>
      </c>
    </row>
    <row r="21" spans="1:3">
      <c r="A21" s="1">
        <v>30780.04492</v>
      </c>
      <c r="B21" s="1">
        <v>24036.980469999999</v>
      </c>
      <c r="C21" s="1">
        <v>20117.023440000001</v>
      </c>
    </row>
    <row r="22" spans="1:3">
      <c r="A22" s="1">
        <v>30762.072270000001</v>
      </c>
      <c r="B22" s="1">
        <v>24041.980469999999</v>
      </c>
      <c r="C22" s="1">
        <v>20101.064450000002</v>
      </c>
    </row>
    <row r="23" spans="1:3">
      <c r="A23" s="1">
        <v>30767.976559999999</v>
      </c>
      <c r="B23" s="1">
        <v>24037.019530000001</v>
      </c>
      <c r="C23" s="1">
        <v>20132.871090000001</v>
      </c>
    </row>
    <row r="24" spans="1:3">
      <c r="A24" s="1">
        <v>30760.03125</v>
      </c>
      <c r="B24" s="1">
        <v>24047.95508</v>
      </c>
      <c r="C24" s="1">
        <v>20119.056639999999</v>
      </c>
    </row>
    <row r="25" spans="1:3">
      <c r="A25" s="1">
        <v>30760</v>
      </c>
      <c r="B25" s="1">
        <v>24030.072270000001</v>
      </c>
      <c r="C25" s="1">
        <v>20112.027340000001</v>
      </c>
    </row>
    <row r="26" spans="1:3">
      <c r="A26" s="1">
        <v>30766.972659999999</v>
      </c>
      <c r="B26" s="1">
        <v>24033.984380000002</v>
      </c>
      <c r="C26" s="1">
        <v>20115.984380000002</v>
      </c>
    </row>
    <row r="27" spans="1:3">
      <c r="A27" s="1">
        <v>30768.992190000001</v>
      </c>
      <c r="B27" s="1">
        <v>24033.003909999999</v>
      </c>
      <c r="C27" s="1">
        <v>20118.988280000001</v>
      </c>
    </row>
    <row r="28" spans="1:3">
      <c r="A28" s="1">
        <v>30780.95117</v>
      </c>
      <c r="B28" s="1">
        <v>24028.019530000001</v>
      </c>
      <c r="C28" s="1">
        <v>20129.95508</v>
      </c>
    </row>
    <row r="29" spans="1:3">
      <c r="A29" s="1">
        <v>30753.11133</v>
      </c>
      <c r="B29" s="1">
        <v>24033.976559999999</v>
      </c>
      <c r="C29" s="1">
        <v>20118.047999999999</v>
      </c>
    </row>
    <row r="30" spans="1:3">
      <c r="A30" s="1">
        <v>30768.93</v>
      </c>
      <c r="B30" s="1">
        <v>24036.98</v>
      </c>
    </row>
    <row r="31" spans="1:3">
      <c r="A31" s="1"/>
    </row>
    <row r="32" spans="1:3">
      <c r="A32" s="1"/>
    </row>
    <row r="33" spans="1:3">
      <c r="A33" s="1"/>
    </row>
    <row r="34" spans="1:3">
      <c r="A34" s="2">
        <f>AVERAGE(A2:A33)</f>
        <v>30768.964315862071</v>
      </c>
      <c r="B34" s="2">
        <f>AVERAGE(B2:B33)</f>
        <v>24036.068141724139</v>
      </c>
      <c r="C34" s="2">
        <f t="shared" ref="C34" si="0">AVERAGE(C2:C33)</f>
        <v>20119.106415714283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Sensor_0</vt:lpstr>
      <vt:lpstr>Sensor_1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</dc:creator>
  <cp:lastModifiedBy>Rohan Madhu</cp:lastModifiedBy>
  <dcterms:created xsi:type="dcterms:W3CDTF">2015-06-05T18:17:20Z</dcterms:created>
  <dcterms:modified xsi:type="dcterms:W3CDTF">2026-07-06T17:44:28Z</dcterms:modified>
</cp:coreProperties>
</file>